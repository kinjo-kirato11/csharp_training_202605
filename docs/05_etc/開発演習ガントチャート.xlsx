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esktop\0527\"/>
    </mc:Choice>
  </mc:AlternateContent>
  <xr:revisionPtr revIDLastSave="0" documentId="13_ncr:1_{BDF37B5B-1D27-4C6B-9589-CC48BC2A6D8F}" xr6:coauthVersionLast="47" xr6:coauthVersionMax="47" xr10:uidLastSave="{00000000-0000-0000-0000-000000000000}"/>
  <bookViews>
    <workbookView xWindow="-110" yWindow="-110" windowWidth="19420" windowHeight="10300" xr2:uid="{FEB0F1E0-367F-476F-9177-8C1DF5BABBC9}"/>
  </bookViews>
  <sheets>
    <sheet name="ガントチャート" sheetId="2" r:id="rId1"/>
    <sheet name="休日表" sheetId="3" r:id="rId2"/>
  </sheets>
  <definedNames>
    <definedName name="HOLIDAY">休日表!$B$6:$G$20</definedName>
    <definedName name="SCROLL_AMOUNT">ガントチャート!$G$7</definedName>
    <definedName name="START">ガントチャート!$F$4</definedName>
    <definedName name="STEP">ガントチャート!$F$5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H3" i="2" l="1"/>
  <c r="H2" i="2" s="1"/>
  <c r="H9" i="2"/>
  <c r="H4" i="2"/>
  <c r="I5" i="2"/>
  <c r="I4" i="2" s="1"/>
  <c r="I3" i="2" l="1"/>
  <c r="I9" i="2"/>
  <c r="J5" i="2"/>
  <c r="I2" i="2"/>
  <c r="J4" i="2" l="1"/>
  <c r="J9" i="2"/>
  <c r="J3" i="2"/>
  <c r="K5" i="2"/>
  <c r="K9" i="2" s="1"/>
  <c r="J2" i="2"/>
  <c r="K4" i="2" l="1"/>
  <c r="K3" i="2"/>
  <c r="K2" i="2"/>
  <c r="L5" i="2"/>
  <c r="L9" i="2" s="1"/>
  <c r="L4" i="2" l="1"/>
  <c r="L3" i="2"/>
  <c r="M5" i="2"/>
  <c r="L2" i="2"/>
  <c r="M4" i="2" l="1"/>
  <c r="M9" i="2"/>
  <c r="M3" i="2"/>
  <c r="N5" i="2"/>
  <c r="M2" i="2"/>
  <c r="N4" i="2" l="1"/>
  <c r="N9" i="2"/>
  <c r="N3" i="2"/>
  <c r="O5" i="2"/>
  <c r="N2" i="2"/>
  <c r="O4" i="2" l="1"/>
  <c r="O9" i="2"/>
  <c r="O3" i="2"/>
  <c r="P5" i="2"/>
  <c r="O2" i="2"/>
  <c r="P3" i="2" l="1"/>
  <c r="P9" i="2"/>
  <c r="P4" i="2"/>
  <c r="Q5" i="2"/>
  <c r="P2" i="2"/>
  <c r="Q4" i="2" l="1"/>
  <c r="Q9" i="2"/>
  <c r="Q3" i="2"/>
  <c r="R5" i="2"/>
  <c r="Q2" i="2"/>
  <c r="R3" i="2" l="1"/>
  <c r="R9" i="2"/>
  <c r="R4" i="2"/>
  <c r="S5" i="2"/>
  <c r="R2" i="2"/>
  <c r="S4" i="2" l="1"/>
  <c r="S9" i="2"/>
  <c r="S3" i="2"/>
  <c r="T5" i="2"/>
  <c r="S2" i="2"/>
  <c r="T3" i="2" l="1"/>
  <c r="T9" i="2"/>
  <c r="T4" i="2"/>
  <c r="U5" i="2"/>
  <c r="T2" i="2"/>
  <c r="U3" i="2" l="1"/>
  <c r="U9" i="2"/>
  <c r="U4" i="2"/>
  <c r="V5" i="2"/>
  <c r="U2" i="2"/>
  <c r="V4" i="2" l="1"/>
  <c r="V9" i="2"/>
  <c r="V3" i="2"/>
  <c r="W5" i="2"/>
  <c r="V2" i="2"/>
  <c r="W3" i="2" l="1"/>
  <c r="W9" i="2"/>
  <c r="W4" i="2"/>
  <c r="X5" i="2"/>
  <c r="W2" i="2"/>
  <c r="X3" i="2" l="1"/>
  <c r="X9" i="2"/>
  <c r="X4" i="2"/>
  <c r="Y5" i="2"/>
  <c r="X2" i="2"/>
  <c r="Y4" i="2" l="1"/>
  <c r="Y9" i="2"/>
  <c r="Y3" i="2"/>
  <c r="Z5" i="2"/>
  <c r="Z9" i="2" s="1"/>
  <c r="Y2" i="2"/>
  <c r="Z3" i="2" l="1"/>
  <c r="Z4" i="2"/>
  <c r="AA5" i="2"/>
  <c r="Z2" i="2"/>
  <c r="AA4" i="2" l="1"/>
  <c r="AA9" i="2"/>
  <c r="AA3" i="2"/>
  <c r="AA2" i="2"/>
  <c r="AB5" i="2"/>
  <c r="AB9" i="2" s="1"/>
  <c r="AB4" i="2" l="1"/>
  <c r="AB3" i="2"/>
  <c r="AC5" i="2"/>
  <c r="AB2" i="2"/>
  <c r="AC3" i="2" l="1"/>
  <c r="AC9" i="2"/>
  <c r="AC4" i="2"/>
  <c r="AD5" i="2"/>
  <c r="AD9" i="2" s="1"/>
  <c r="AC2" i="2"/>
  <c r="AD3" i="2" l="1"/>
  <c r="AD4" i="2"/>
  <c r="AE5" i="2"/>
  <c r="AD2" i="2"/>
  <c r="AE4" i="2" l="1"/>
  <c r="AE9" i="2"/>
  <c r="AE3" i="2"/>
  <c r="AF5" i="2"/>
  <c r="AE2" i="2"/>
  <c r="AF4" i="2" l="1"/>
  <c r="AF9" i="2"/>
  <c r="AF3" i="2"/>
  <c r="AG5" i="2"/>
  <c r="AG9" i="2" s="1"/>
  <c r="AF2" i="2"/>
  <c r="AG4" i="2" l="1"/>
  <c r="AG3" i="2"/>
  <c r="AH5" i="2"/>
  <c r="AG2" i="2"/>
  <c r="AH3" i="2" l="1"/>
  <c r="AH9" i="2"/>
  <c r="AH4" i="2"/>
  <c r="AI5" i="2"/>
  <c r="AI9" i="2" s="1"/>
  <c r="AH2" i="2"/>
  <c r="AI4" i="2" l="1"/>
  <c r="AI3" i="2"/>
  <c r="AJ5" i="2"/>
  <c r="AJ9" i="2" s="1"/>
  <c r="AI2" i="2"/>
  <c r="AJ4" i="2" l="1"/>
  <c r="AJ3" i="2"/>
  <c r="AK5" i="2"/>
  <c r="AJ2" i="2"/>
  <c r="AK3" i="2" l="1"/>
  <c r="AK9" i="2"/>
  <c r="AK4" i="2"/>
  <c r="AL5" i="2"/>
  <c r="AK2" i="2"/>
  <c r="AL3" i="2" l="1"/>
  <c r="AL9" i="2"/>
  <c r="AL4" i="2"/>
  <c r="AM5" i="2"/>
  <c r="AM9" i="2" s="1"/>
  <c r="AL2" i="2"/>
  <c r="AM4" i="2" l="1"/>
  <c r="AM3" i="2"/>
  <c r="AN5" i="2"/>
  <c r="AN9" i="2" s="1"/>
  <c r="AM2" i="2"/>
  <c r="AN4" i="2" l="1"/>
  <c r="AN3" i="2"/>
  <c r="AO5" i="2"/>
  <c r="AN2" i="2"/>
  <c r="AO4" i="2" l="1"/>
  <c r="AO9" i="2"/>
  <c r="AO3" i="2"/>
  <c r="AP5" i="2"/>
  <c r="AP9" i="2" s="1"/>
  <c r="AO2" i="2"/>
  <c r="AP3" i="2" l="1"/>
  <c r="AP4" i="2"/>
  <c r="AQ5" i="2"/>
  <c r="AP2" i="2"/>
  <c r="AQ4" i="2" l="1"/>
  <c r="AQ9" i="2"/>
  <c r="AQ3" i="2"/>
  <c r="AR5" i="2"/>
  <c r="AQ2" i="2"/>
  <c r="AR4" i="2" l="1"/>
  <c r="AR9" i="2"/>
  <c r="AR3" i="2"/>
  <c r="AS5" i="2"/>
  <c r="AS9" i="2" s="1"/>
  <c r="AR2" i="2"/>
  <c r="AS3" i="2" l="1"/>
  <c r="AS4" i="2"/>
  <c r="AT5" i="2"/>
  <c r="AS2" i="2"/>
  <c r="AT3" i="2" l="1"/>
  <c r="AT9" i="2"/>
  <c r="AT4" i="2"/>
  <c r="AU5" i="2"/>
  <c r="AU9" i="2" s="1"/>
  <c r="AT2" i="2"/>
  <c r="AU4" i="2" l="1"/>
  <c r="AU3" i="2"/>
  <c r="AV5" i="2"/>
  <c r="AV9" i="2" s="1"/>
  <c r="AU2" i="2"/>
  <c r="AV4" i="2" l="1"/>
  <c r="AV3" i="2"/>
  <c r="AW5" i="2"/>
  <c r="AV2" i="2"/>
  <c r="AW4" i="2" l="1"/>
  <c r="AW9" i="2"/>
  <c r="AW3" i="2"/>
  <c r="AX5" i="2"/>
  <c r="AX9" i="2" s="1"/>
  <c r="AW2" i="2"/>
  <c r="AX3" i="2" l="1"/>
  <c r="AX4" i="2"/>
  <c r="AY5" i="2"/>
  <c r="AX2" i="2"/>
  <c r="AY4" i="2" l="1"/>
  <c r="AY9" i="2"/>
  <c r="AY3" i="2"/>
  <c r="AZ5" i="2"/>
  <c r="AY2" i="2"/>
  <c r="AZ4" i="2" l="1"/>
  <c r="AZ9" i="2"/>
  <c r="AZ3" i="2"/>
  <c r="BA5" i="2"/>
  <c r="BA9" i="2" s="1"/>
  <c r="AZ2" i="2"/>
  <c r="BA3" i="2" l="1"/>
  <c r="BA4" i="2"/>
  <c r="BB5" i="2"/>
  <c r="BA2" i="2"/>
  <c r="BB3" i="2" l="1"/>
  <c r="BB9" i="2"/>
  <c r="BB4" i="2"/>
  <c r="BC5" i="2"/>
  <c r="BC9" i="2" s="1"/>
  <c r="BB2" i="2"/>
  <c r="BC4" i="2" l="1"/>
  <c r="BC3" i="2"/>
  <c r="BD5" i="2"/>
  <c r="BD9" i="2" s="1"/>
  <c r="BC2" i="2"/>
  <c r="BD4" i="2" l="1"/>
  <c r="BD3" i="2"/>
  <c r="BE5" i="2"/>
  <c r="BD2" i="2"/>
  <c r="BE3" i="2" l="1"/>
  <c r="BE9" i="2"/>
  <c r="BE4" i="2"/>
  <c r="BE2" i="2"/>
</calcChain>
</file>

<file path=xl/sharedStrings.xml><?xml version="1.0" encoding="utf-8"?>
<sst xmlns="http://schemas.openxmlformats.org/spreadsheetml/2006/main" count="46" uniqueCount="34">
  <si>
    <t>ガントチャート</t>
    <phoneticPr fontId="2"/>
  </si>
  <si>
    <t>休日</t>
    <rPh sb="0" eb="2">
      <t>キュウジツ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</si>
  <si>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</si>
  <si>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</si>
  <si>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ステップ</t>
    <phoneticPr fontId="2"/>
  </si>
  <si>
    <t>日</t>
    <rPh sb="0" eb="1">
      <t>ヒ</t>
    </rPh>
    <phoneticPr fontId="2"/>
  </si>
  <si>
    <t>No.</t>
    <phoneticPr fontId="2"/>
  </si>
  <si>
    <t>休日表</t>
    <rPh sb="0" eb="3">
      <t>キュウジツヒョウ</t>
    </rPh>
    <phoneticPr fontId="2"/>
  </si>
  <si>
    <t>土日を除く休日を設定します。</t>
    <rPh sb="0" eb="2">
      <t>ドニチ</t>
    </rPh>
    <rPh sb="3" eb="4">
      <t>ノゾ</t>
    </rPh>
    <rPh sb="5" eb="7">
      <t>キュウジツ</t>
    </rPh>
    <rPh sb="8" eb="10">
      <t>セッテイ</t>
    </rPh>
    <phoneticPr fontId="2"/>
  </si>
  <si>
    <t>ここで設定した日は、ガントチャート上で灰色表示します。</t>
    <rPh sb="3" eb="5">
      <t>セッテイ</t>
    </rPh>
    <rPh sb="7" eb="8">
      <t>ヒ</t>
    </rPh>
    <rPh sb="17" eb="18">
      <t>ジョウ</t>
    </rPh>
    <rPh sb="19" eb="21">
      <t>ハイイロ</t>
    </rPh>
    <rPh sb="21" eb="23">
      <t>ヒョウジ</t>
    </rPh>
    <phoneticPr fontId="1"/>
  </si>
  <si>
    <t>開始日</t>
    <rPh sb="0" eb="2">
      <t>カイシ</t>
    </rPh>
    <rPh sb="2" eb="3">
      <t>ヒ</t>
    </rPh>
    <phoneticPr fontId="2"/>
  </si>
  <si>
    <t>表示開始日</t>
    <rPh sb="0" eb="2">
      <t>ヒョウジ</t>
    </rPh>
    <rPh sb="2" eb="4">
      <t>カイシ</t>
    </rPh>
    <rPh sb="4" eb="5">
      <t>ヒ</t>
    </rPh>
    <phoneticPr fontId="2"/>
  </si>
  <si>
    <t>担当者</t>
    <rPh sb="0" eb="2">
      <t>タントウ</t>
    </rPh>
    <rPh sb="2" eb="3">
      <t>シャ</t>
    </rPh>
    <phoneticPr fontId="2"/>
  </si>
  <si>
    <t>タスク</t>
    <phoneticPr fontId="2"/>
  </si>
  <si>
    <t>進捗率</t>
    <rPh sb="0" eb="2">
      <t>シンチョク</t>
    </rPh>
    <rPh sb="2" eb="3">
      <t>リツ</t>
    </rPh>
    <phoneticPr fontId="1"/>
  </si>
  <si>
    <t>期間</t>
    <rPh sb="0" eb="2">
      <t>キカン</t>
    </rPh>
    <phoneticPr fontId="2"/>
  </si>
  <si>
    <t>スクロール量</t>
    <rPh sb="5" eb="6">
      <t>リョウ</t>
    </rPh>
    <phoneticPr fontId="1"/>
  </si>
  <si>
    <t>ドキュメント類</t>
    <rPh sb="6" eb="7">
      <t>ルイ</t>
    </rPh>
    <phoneticPr fontId="2"/>
  </si>
  <si>
    <t>ER図</t>
    <rPh sb="2" eb="3">
      <t>ズ</t>
    </rPh>
    <phoneticPr fontId="2"/>
  </si>
  <si>
    <t>クラス図</t>
    <rPh sb="3" eb="4">
      <t>ズ</t>
    </rPh>
    <phoneticPr fontId="2"/>
  </si>
  <si>
    <t>シーケンス図</t>
    <rPh sb="5" eb="6">
      <t>ズ</t>
    </rPh>
    <phoneticPr fontId="1"/>
  </si>
  <si>
    <t>テストケース</t>
    <phoneticPr fontId="1"/>
  </si>
  <si>
    <t>プレゼンテーションファイル</t>
    <phoneticPr fontId="1"/>
  </si>
  <si>
    <t>機能開発</t>
    <rPh sb="0" eb="4">
      <t>キノウカイハツ</t>
    </rPh>
    <phoneticPr fontId="1"/>
  </si>
  <si>
    <t>社員一覧表示機能</t>
    <rPh sb="0" eb="8">
      <t>シャインイチランヒョウジキノウ</t>
    </rPh>
    <phoneticPr fontId="1"/>
  </si>
  <si>
    <t>部門追加機能</t>
    <rPh sb="0" eb="6">
      <t>ブモンツイカキノウ</t>
    </rPh>
    <phoneticPr fontId="1"/>
  </si>
  <si>
    <t>部門一覧機能</t>
    <phoneticPr fontId="1"/>
  </si>
  <si>
    <t>実績</t>
    <rPh sb="0" eb="2">
      <t>ジッセキ</t>
    </rPh>
    <phoneticPr fontId="1"/>
  </si>
  <si>
    <t>社員追加機能</t>
    <phoneticPr fontId="1"/>
  </si>
  <si>
    <t>Webデザイン・レイアウト</t>
    <phoneticPr fontId="1"/>
  </si>
  <si>
    <t>プレゼンテーションファイル</t>
  </si>
  <si>
    <t>テストコード</t>
    <phoneticPr fontId="1"/>
  </si>
  <si>
    <t>発表練習</t>
    <rPh sb="0" eb="4">
      <t>ハッピョウレンシュウ</t>
    </rPh>
    <phoneticPr fontId="1"/>
  </si>
  <si>
    <t>発表</t>
    <rPh sb="0" eb="2">
      <t>ハッピョウ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</si>
</sst>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'yy"/>
    <numFmt numFmtId="177" formatCode="yyyy/mm/dd"/>
    <numFmt numFmtId="178" formatCode="mm"/>
    <numFmt numFmtId="179" formatCode="0&quot; 日&quot;"/>
    <numFmt numFmtId="180" formatCode="dd"/>
    <numFmt numFmtId="181" formatCode="mm/dd"/>
  </numFmts>
  <fonts count="7" x14ac:knownFonts="1">
    <font>
      <sz val="10"/>
      <color theme="1"/>
      <name val="游ゴシック"/>
      <family val="2"/>
      <charset val="128"/>
    </font>
    <font>
      <sz val="6"/>
      <name val="游ゴシック"/>
      <family val="2"/>
      <charset val="128"/>
    </font>
    <font>
      <sz val="6"/>
      <name val="游ゴシック Medium"/>
      <family val="2"/>
      <charset val="128"/>
    </font>
    <font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2"/>
      <color theme="1"/>
      <name val="游ゴシック Medium"/>
      <family val="3"/>
      <charset val="128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medium">
        <color indexed="64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shrinkToFit="1"/>
    </xf>
    <xf numFmtId="176" fontId="6" fillId="3" borderId="10" xfId="0" applyNumberFormat="1" applyFont="1" applyFill="1" applyBorder="1" applyAlignment="1">
      <alignment horizontal="center" vertical="center" shrinkToFit="1"/>
    </xf>
    <xf numFmtId="176" fontId="6" fillId="3" borderId="11" xfId="0" applyNumberFormat="1" applyFont="1" applyFill="1" applyBorder="1" applyAlignment="1">
      <alignment horizontal="center" vertical="center" shrinkToFit="1"/>
    </xf>
    <xf numFmtId="178" fontId="6" fillId="3" borderId="15" xfId="0" applyNumberFormat="1" applyFont="1" applyFill="1" applyBorder="1" applyAlignment="1">
      <alignment horizontal="center" vertical="center" shrinkToFit="1"/>
    </xf>
    <xf numFmtId="178" fontId="6" fillId="3" borderId="22" xfId="0" applyNumberFormat="1" applyFont="1" applyFill="1" applyBorder="1" applyAlignment="1">
      <alignment horizontal="center" vertical="center" shrinkToFit="1"/>
    </xf>
    <xf numFmtId="176" fontId="6" fillId="3" borderId="3" xfId="0" applyNumberFormat="1" applyFont="1" applyFill="1" applyBorder="1" applyAlignment="1">
      <alignment horizontal="center" vertical="center" shrinkToFit="1"/>
    </xf>
    <xf numFmtId="178" fontId="6" fillId="3" borderId="17" xfId="0" applyNumberFormat="1" applyFont="1" applyFill="1" applyBorder="1" applyAlignment="1">
      <alignment horizontal="center" vertical="center" shrinkToFit="1"/>
    </xf>
    <xf numFmtId="180" fontId="6" fillId="3" borderId="16" xfId="0" applyNumberFormat="1" applyFont="1" applyFill="1" applyBorder="1" applyAlignment="1">
      <alignment horizontal="center" vertical="center" shrinkToFit="1"/>
    </xf>
    <xf numFmtId="180" fontId="6" fillId="3" borderId="20" xfId="0" applyNumberFormat="1" applyFont="1" applyFill="1" applyBorder="1" applyAlignment="1">
      <alignment horizontal="center" vertical="center" shrinkToFit="1"/>
    </xf>
    <xf numFmtId="0" fontId="6" fillId="0" borderId="25" xfId="0" applyFont="1" applyBorder="1" applyAlignment="1">
      <alignment horizontal="center" vertical="center" shrinkToFit="1"/>
    </xf>
    <xf numFmtId="0" fontId="6" fillId="0" borderId="26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shrinkToFit="1"/>
    </xf>
    <xf numFmtId="0" fontId="4" fillId="0" borderId="0" xfId="0" applyFont="1">
      <alignment vertical="center"/>
    </xf>
    <xf numFmtId="0" fontId="3" fillId="0" borderId="24" xfId="0" applyFont="1" applyBorder="1" applyAlignment="1">
      <alignment horizontal="center" vertical="center" shrinkToFit="1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33" xfId="0" applyFont="1" applyBorder="1">
      <alignment vertical="center"/>
    </xf>
    <xf numFmtId="0" fontId="6" fillId="0" borderId="34" xfId="0" applyFont="1" applyBorder="1" applyAlignment="1">
      <alignment horizontal="center" vertical="center" shrinkToFit="1"/>
    </xf>
    <xf numFmtId="0" fontId="3" fillId="0" borderId="35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37" xfId="0" applyFont="1" applyBorder="1">
      <alignment vertical="center"/>
    </xf>
    <xf numFmtId="0" fontId="3" fillId="2" borderId="2" xfId="0" applyFont="1" applyFill="1" applyBorder="1" applyAlignment="1" applyProtection="1">
      <alignment vertical="center" shrinkToFit="1"/>
      <protection locked="0"/>
    </xf>
    <xf numFmtId="0" fontId="3" fillId="2" borderId="2" xfId="0" applyFont="1" applyFill="1" applyBorder="1" applyAlignment="1" applyProtection="1">
      <alignment horizontal="center" vertical="center" shrinkToFit="1"/>
      <protection locked="0"/>
    </xf>
    <xf numFmtId="177" fontId="3" fillId="2" borderId="2" xfId="0" applyNumberFormat="1" applyFont="1" applyFill="1" applyBorder="1" applyAlignment="1" applyProtection="1">
      <alignment horizontal="center" vertical="center" shrinkToFit="1"/>
      <protection locked="0"/>
    </xf>
    <xf numFmtId="1" fontId="3" fillId="2" borderId="2" xfId="0" applyNumberFormat="1" applyFont="1" applyFill="1" applyBorder="1" applyAlignment="1" applyProtection="1">
      <alignment horizontal="center" vertical="center" shrinkToFit="1"/>
      <protection locked="0"/>
    </xf>
    <xf numFmtId="177" fontId="3" fillId="2" borderId="1" xfId="0" applyNumberFormat="1" applyFont="1" applyFill="1" applyBorder="1" applyAlignment="1" applyProtection="1">
      <alignment horizontal="center" vertical="center" shrinkToFit="1"/>
      <protection locked="0"/>
    </xf>
    <xf numFmtId="1" fontId="3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3" fillId="2" borderId="1" xfId="0" applyFont="1" applyFill="1" applyBorder="1" applyAlignment="1" applyProtection="1">
      <alignment vertical="center" shrinkToFit="1"/>
      <protection locked="0"/>
    </xf>
    <xf numFmtId="0" fontId="3" fillId="2" borderId="1" xfId="0" applyFont="1" applyFill="1" applyBorder="1" applyAlignment="1" applyProtection="1">
      <alignment horizontal="center" vertical="center" shrinkToFit="1"/>
      <protection locked="0"/>
    </xf>
    <xf numFmtId="0" fontId="3" fillId="2" borderId="9" xfId="0" applyFont="1" applyFill="1" applyBorder="1" applyAlignment="1" applyProtection="1">
      <alignment vertical="center" shrinkToFit="1"/>
      <protection locked="0"/>
    </xf>
    <xf numFmtId="0" fontId="3" fillId="2" borderId="9" xfId="0" applyFont="1" applyFill="1" applyBorder="1" applyAlignment="1" applyProtection="1">
      <alignment horizontal="center" vertical="center" shrinkToFit="1"/>
      <protection locked="0"/>
    </xf>
    <xf numFmtId="177" fontId="3" fillId="2" borderId="9" xfId="0" applyNumberFormat="1" applyFont="1" applyFill="1" applyBorder="1" applyAlignment="1" applyProtection="1">
      <alignment horizontal="center" vertical="center" shrinkToFit="1"/>
      <protection locked="0"/>
    </xf>
    <xf numFmtId="1" fontId="3" fillId="2" borderId="9" xfId="0" applyNumberFormat="1" applyFont="1" applyFill="1" applyBorder="1" applyAlignment="1" applyProtection="1">
      <alignment horizontal="center" vertical="center" shrinkToFit="1"/>
      <protection locked="0"/>
    </xf>
    <xf numFmtId="180" fontId="6" fillId="3" borderId="0" xfId="0" applyNumberFormat="1" applyFont="1" applyFill="1" applyAlignment="1">
      <alignment horizontal="center" vertical="center" shrinkToFit="1"/>
    </xf>
    <xf numFmtId="180" fontId="4" fillId="3" borderId="0" xfId="0" applyNumberFormat="1" applyFont="1" applyFill="1" applyAlignment="1">
      <alignment horizontal="center" vertical="center" shrinkToFit="1"/>
    </xf>
    <xf numFmtId="180" fontId="6" fillId="3" borderId="41" xfId="0" applyNumberFormat="1" applyFont="1" applyFill="1" applyBorder="1" applyAlignment="1">
      <alignment horizontal="center" vertical="center" shrinkToFit="1"/>
    </xf>
    <xf numFmtId="0" fontId="3" fillId="0" borderId="42" xfId="0" applyFont="1" applyBorder="1">
      <alignment vertical="center"/>
    </xf>
    <xf numFmtId="0" fontId="3" fillId="0" borderId="43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10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179" fontId="3" fillId="2" borderId="39" xfId="0" applyNumberFormat="1" applyFont="1" applyFill="1" applyBorder="1" applyAlignment="1" applyProtection="1">
      <alignment horizontal="center" vertical="center"/>
      <protection locked="0"/>
    </xf>
    <xf numFmtId="181" fontId="3" fillId="2" borderId="40" xfId="0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 vertical="center" indent="2" shrinkToFit="1"/>
      <protection locked="0"/>
    </xf>
    <xf numFmtId="0" fontId="3" fillId="2" borderId="1" xfId="0" applyFont="1" applyFill="1" applyBorder="1" applyAlignment="1" applyProtection="1">
      <alignment horizontal="left" vertical="center" indent="2" shrinkToFit="1"/>
      <protection locked="0"/>
    </xf>
    <xf numFmtId="9" fontId="3" fillId="2" borderId="19" xfId="0" applyNumberFormat="1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Protection="1">
      <alignment vertical="center"/>
      <protection locked="0"/>
    </xf>
    <xf numFmtId="0" fontId="6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 applyProtection="1">
      <alignment horizontal="center" vertical="center"/>
      <protection locked="0"/>
    </xf>
    <xf numFmtId="9" fontId="3" fillId="2" borderId="18" xfId="0" applyNumberFormat="1" applyFont="1" applyFill="1" applyBorder="1" applyAlignment="1" applyProtection="1">
      <alignment horizontal="center" vertical="center" shrinkToFit="1"/>
      <protection locked="0"/>
    </xf>
    <xf numFmtId="177" fontId="0" fillId="2" borderId="1" xfId="0" applyNumberFormat="1" applyFill="1" applyBorder="1" applyAlignment="1" applyProtection="1">
      <alignment horizontal="center" vertical="center"/>
      <protection locked="0"/>
    </xf>
    <xf numFmtId="0" fontId="3" fillId="0" borderId="2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</cellXfs>
  <cellStyles count="1">
    <cellStyle name="標準" xfId="0" builtinId="0"/>
  </cellStyles>
  <dxfs count="5">
    <dxf>
      <fill>
        <patternFill patternType="mediumGray">
          <fgColor theme="1" tint="0.34998626667073579"/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2" tint="-0.499984740745262"/>
        </patternFill>
      </fill>
    </dxf>
  </dxfs>
  <tableStyles count="0" defaultTableStyle="TableStyleMedium2" defaultPivotStyle="PivotStyleLight16"/>
  <colors>
    <mruColors>
      <color rgb="FFFF9900"/>
      <color rgb="FF3366FF"/>
      <color rgb="FFFF6600"/>
      <color rgb="FFFF0000"/>
      <color rgb="FFCC0000"/>
      <color rgb="FFCC00CC"/>
      <color rgb="FFFF9966"/>
      <color rgb="FFFFCC66"/>
      <color rgb="FFFFFF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6" fmlaLink="$G$7" horiz="1" max="365" noThreeD="1" page="7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</xdr:row>
          <xdr:rowOff>0</xdr:rowOff>
        </xdr:from>
        <xdr:to>
          <xdr:col>57</xdr:col>
          <xdr:colOff>0</xdr:colOff>
          <xdr:row>7</xdr:row>
          <xdr:rowOff>0</xdr:rowOff>
        </xdr:to>
        <xdr:sp macro="" textlink="">
          <xdr:nvSpPr>
            <xdr:cNvPr id="2049" name="Scroll Ba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7F0D-D814-4B88-9475-90549C249189}">
  <sheetPr codeName="Sheet2">
    <pageSetUpPr fitToPage="1"/>
  </sheetPr>
  <dimension ref="A1:BE49"/>
  <sheetViews>
    <sheetView tabSelected="1" zoomScaleNormal="100" workbookViewId="0">
      <pane xSplit="7" ySplit="9" topLeftCell="H31" activePane="bottomRight" state="frozen"/>
      <selection pane="topRight" activeCell="H1" sqref="H1"/>
      <selection pane="bottomLeft" activeCell="A10" sqref="A10"/>
      <selection pane="bottomRight" activeCell="G35" sqref="G35"/>
    </sheetView>
  </sheetViews>
  <sheetFormatPr defaultColWidth="2.6328125" defaultRowHeight="16.5" x14ac:dyDescent="0.5"/>
  <cols>
    <col min="1" max="1" width="1.6328125" style="1" customWidth="1"/>
    <col min="2" max="2" width="3.6328125" style="1" customWidth="1"/>
    <col min="3" max="3" width="30.6328125" style="1" customWidth="1"/>
    <col min="4" max="4" width="10.6328125" style="1" customWidth="1"/>
    <col min="5" max="5" width="11.6328125" style="1" customWidth="1"/>
    <col min="6" max="7" width="6.6328125" style="1" customWidth="1"/>
    <col min="8" max="16384" width="2.6328125" style="1"/>
  </cols>
  <sheetData>
    <row r="1" spans="1:57" ht="20.5" thickBot="1" x14ac:dyDescent="0.55000000000000004">
      <c r="A1" s="5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15" hidden="1" customHeight="1" thickBot="1" x14ac:dyDescent="0.55000000000000004">
      <c r="F2" s="3" t="s">
        <v>1</v>
      </c>
      <c r="G2" s="3"/>
      <c r="H2" s="2">
        <f>IF(OR(WEEKDAY(H3,2)=6,WEEKDAY(H3,2)=7,COUNTIF(HOLIDAY,H3)=1),1,0)</f>
        <v>0</v>
      </c>
      <c r="I2" s="2">
        <f t="shared" ref="I2:AN2" si="0">IF(OR(WEEKDAY(I5,2)=6,WEEKDAY(I5,2)=7,COUNTIF(HOLIDAY,I5)=1),1,0)</f>
        <v>0</v>
      </c>
      <c r="J2" s="2">
        <f t="shared" si="0"/>
        <v>0</v>
      </c>
      <c r="K2" s="2">
        <f t="shared" si="0"/>
        <v>1</v>
      </c>
      <c r="L2" s="2">
        <f t="shared" si="0"/>
        <v>1</v>
      </c>
      <c r="M2" s="2">
        <f t="shared" si="0"/>
        <v>0</v>
      </c>
      <c r="N2" s="2">
        <f t="shared" si="0"/>
        <v>0</v>
      </c>
      <c r="O2" s="2">
        <f t="shared" si="0"/>
        <v>0</v>
      </c>
      <c r="P2" s="2">
        <f t="shared" si="0"/>
        <v>0</v>
      </c>
      <c r="Q2" s="2">
        <f t="shared" si="0"/>
        <v>0</v>
      </c>
      <c r="R2" s="2">
        <f t="shared" si="0"/>
        <v>1</v>
      </c>
      <c r="S2" s="2">
        <f t="shared" si="0"/>
        <v>1</v>
      </c>
      <c r="T2" s="2">
        <f t="shared" si="0"/>
        <v>0</v>
      </c>
      <c r="U2" s="2">
        <f t="shared" si="0"/>
        <v>0</v>
      </c>
      <c r="V2" s="2">
        <f t="shared" si="0"/>
        <v>0</v>
      </c>
      <c r="W2" s="2">
        <f t="shared" si="0"/>
        <v>0</v>
      </c>
      <c r="X2" s="2">
        <f t="shared" si="0"/>
        <v>0</v>
      </c>
      <c r="Y2" s="2">
        <f t="shared" si="0"/>
        <v>1</v>
      </c>
      <c r="Z2" s="2">
        <f t="shared" si="0"/>
        <v>1</v>
      </c>
      <c r="AA2" s="2">
        <f t="shared" si="0"/>
        <v>0</v>
      </c>
      <c r="AB2" s="2">
        <f t="shared" si="0"/>
        <v>0</v>
      </c>
      <c r="AC2" s="2">
        <f t="shared" si="0"/>
        <v>0</v>
      </c>
      <c r="AD2" s="2">
        <f t="shared" si="0"/>
        <v>0</v>
      </c>
      <c r="AE2" s="2">
        <f t="shared" si="0"/>
        <v>0</v>
      </c>
      <c r="AF2" s="2">
        <f t="shared" si="0"/>
        <v>1</v>
      </c>
      <c r="AG2" s="2">
        <f t="shared" si="0"/>
        <v>1</v>
      </c>
      <c r="AH2" s="2">
        <f t="shared" si="0"/>
        <v>0</v>
      </c>
      <c r="AI2" s="2">
        <f t="shared" si="0"/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1</v>
      </c>
      <c r="AN2" s="2">
        <f t="shared" si="0"/>
        <v>1</v>
      </c>
      <c r="AO2" s="2">
        <f t="shared" ref="AO2:BE2" si="1">IF(OR(WEEKDAY(AO5,2)=6,WEEKDAY(AO5,2)=7,COUNTIF(HOLIDAY,AO5)=1),1,0)</f>
        <v>0</v>
      </c>
      <c r="AP2" s="2">
        <f t="shared" si="1"/>
        <v>0</v>
      </c>
      <c r="AQ2" s="2">
        <f t="shared" si="1"/>
        <v>0</v>
      </c>
      <c r="AR2" s="2">
        <f t="shared" si="1"/>
        <v>0</v>
      </c>
      <c r="AS2" s="2">
        <f t="shared" si="1"/>
        <v>0</v>
      </c>
      <c r="AT2" s="2">
        <f t="shared" si="1"/>
        <v>1</v>
      </c>
      <c r="AU2" s="2">
        <f t="shared" si="1"/>
        <v>1</v>
      </c>
      <c r="AV2" s="2">
        <f t="shared" si="1"/>
        <v>0</v>
      </c>
      <c r="AW2" s="2">
        <f t="shared" si="1"/>
        <v>0</v>
      </c>
      <c r="AX2" s="2">
        <f t="shared" si="1"/>
        <v>0</v>
      </c>
      <c r="AY2" s="2">
        <f t="shared" si="1"/>
        <v>0</v>
      </c>
      <c r="AZ2" s="2">
        <f t="shared" si="1"/>
        <v>0</v>
      </c>
      <c r="BA2" s="2">
        <f t="shared" si="1"/>
        <v>1</v>
      </c>
      <c r="BB2" s="2">
        <f t="shared" si="1"/>
        <v>1</v>
      </c>
      <c r="BC2" s="2">
        <f t="shared" si="1"/>
        <v>0</v>
      </c>
      <c r="BD2" s="2">
        <f t="shared" si="1"/>
        <v>0</v>
      </c>
      <c r="BE2" s="2">
        <f t="shared" si="1"/>
        <v>0</v>
      </c>
    </row>
    <row r="3" spans="1:57" ht="15" customHeight="1" thickBot="1" x14ac:dyDescent="0.55000000000000004">
      <c r="G3" s="6" t="s">
        <v>2</v>
      </c>
      <c r="H3" s="15">
        <f>H5</f>
        <v>46162</v>
      </c>
      <c r="I3" s="16" t="str">
        <f>IF(YEAR(H5)&lt;&gt;YEAR(I5),I5,"")</f>
        <v/>
      </c>
      <c r="J3" s="16" t="str">
        <f t="shared" ref="J3:BE3" si="2">IF(YEAR(I5)&lt;&gt;YEAR(J5),J5,"")</f>
        <v/>
      </c>
      <c r="K3" s="16" t="str">
        <f t="shared" si="2"/>
        <v/>
      </c>
      <c r="L3" s="16" t="str">
        <f t="shared" si="2"/>
        <v/>
      </c>
      <c r="M3" s="16" t="str">
        <f t="shared" si="2"/>
        <v/>
      </c>
      <c r="N3" s="16" t="str">
        <f t="shared" si="2"/>
        <v/>
      </c>
      <c r="O3" s="16" t="str">
        <f t="shared" si="2"/>
        <v/>
      </c>
      <c r="P3" s="16" t="str">
        <f t="shared" si="2"/>
        <v/>
      </c>
      <c r="Q3" s="16" t="str">
        <f t="shared" si="2"/>
        <v/>
      </c>
      <c r="R3" s="16" t="str">
        <f t="shared" si="2"/>
        <v/>
      </c>
      <c r="S3" s="16" t="str">
        <f t="shared" si="2"/>
        <v/>
      </c>
      <c r="T3" s="16" t="str">
        <f t="shared" si="2"/>
        <v/>
      </c>
      <c r="U3" s="16" t="str">
        <f t="shared" si="2"/>
        <v/>
      </c>
      <c r="V3" s="16" t="str">
        <f t="shared" si="2"/>
        <v/>
      </c>
      <c r="W3" s="16" t="str">
        <f t="shared" si="2"/>
        <v/>
      </c>
      <c r="X3" s="16" t="str">
        <f t="shared" si="2"/>
        <v/>
      </c>
      <c r="Y3" s="16" t="str">
        <f t="shared" si="2"/>
        <v/>
      </c>
      <c r="Z3" s="16" t="str">
        <f t="shared" si="2"/>
        <v/>
      </c>
      <c r="AA3" s="16" t="str">
        <f t="shared" si="2"/>
        <v/>
      </c>
      <c r="AB3" s="16" t="str">
        <f t="shared" si="2"/>
        <v/>
      </c>
      <c r="AC3" s="16" t="str">
        <f t="shared" si="2"/>
        <v/>
      </c>
      <c r="AD3" s="16" t="str">
        <f t="shared" si="2"/>
        <v/>
      </c>
      <c r="AE3" s="16" t="str">
        <f t="shared" si="2"/>
        <v/>
      </c>
      <c r="AF3" s="16" t="str">
        <f t="shared" si="2"/>
        <v/>
      </c>
      <c r="AG3" s="16" t="str">
        <f t="shared" si="2"/>
        <v/>
      </c>
      <c r="AH3" s="16" t="str">
        <f t="shared" si="2"/>
        <v/>
      </c>
      <c r="AI3" s="16" t="str">
        <f t="shared" si="2"/>
        <v/>
      </c>
      <c r="AJ3" s="16" t="str">
        <f t="shared" si="2"/>
        <v/>
      </c>
      <c r="AK3" s="16" t="str">
        <f t="shared" si="2"/>
        <v/>
      </c>
      <c r="AL3" s="16" t="str">
        <f t="shared" si="2"/>
        <v/>
      </c>
      <c r="AM3" s="16" t="str">
        <f t="shared" si="2"/>
        <v/>
      </c>
      <c r="AN3" s="16" t="str">
        <f t="shared" si="2"/>
        <v/>
      </c>
      <c r="AO3" s="16" t="str">
        <f t="shared" si="2"/>
        <v/>
      </c>
      <c r="AP3" s="16" t="str">
        <f t="shared" si="2"/>
        <v/>
      </c>
      <c r="AQ3" s="16" t="str">
        <f t="shared" si="2"/>
        <v/>
      </c>
      <c r="AR3" s="16" t="str">
        <f t="shared" si="2"/>
        <v/>
      </c>
      <c r="AS3" s="16" t="str">
        <f t="shared" si="2"/>
        <v/>
      </c>
      <c r="AT3" s="16" t="str">
        <f t="shared" si="2"/>
        <v/>
      </c>
      <c r="AU3" s="16" t="str">
        <f t="shared" si="2"/>
        <v/>
      </c>
      <c r="AV3" s="16" t="str">
        <f t="shared" si="2"/>
        <v/>
      </c>
      <c r="AW3" s="16" t="str">
        <f t="shared" si="2"/>
        <v/>
      </c>
      <c r="AX3" s="16" t="str">
        <f t="shared" si="2"/>
        <v/>
      </c>
      <c r="AY3" s="16" t="str">
        <f t="shared" si="2"/>
        <v/>
      </c>
      <c r="AZ3" s="16" t="str">
        <f t="shared" si="2"/>
        <v/>
      </c>
      <c r="BA3" s="16" t="str">
        <f t="shared" si="2"/>
        <v/>
      </c>
      <c r="BB3" s="16" t="str">
        <f t="shared" si="2"/>
        <v/>
      </c>
      <c r="BC3" s="16" t="str">
        <f t="shared" si="2"/>
        <v/>
      </c>
      <c r="BD3" s="16" t="str">
        <f t="shared" si="2"/>
        <v/>
      </c>
      <c r="BE3" s="19" t="str">
        <f t="shared" si="2"/>
        <v/>
      </c>
    </row>
    <row r="4" spans="1:57" x14ac:dyDescent="0.5">
      <c r="E4" s="56" t="s">
        <v>11</v>
      </c>
      <c r="F4" s="59">
        <v>46162</v>
      </c>
      <c r="G4" s="7" t="s">
        <v>3</v>
      </c>
      <c r="H4" s="17">
        <f>H5</f>
        <v>46162</v>
      </c>
      <c r="I4" s="18" t="str">
        <f>IF(MONTH(H5)&lt;&gt;MONTH(I5),I5,"")</f>
        <v/>
      </c>
      <c r="J4" s="18" t="str">
        <f t="shared" ref="J4:BE4" si="3">IF(MONTH(I5)&lt;&gt;MONTH(J5),J5,"")</f>
        <v/>
      </c>
      <c r="K4" s="18" t="str">
        <f t="shared" si="3"/>
        <v/>
      </c>
      <c r="L4" s="18" t="str">
        <f t="shared" si="3"/>
        <v/>
      </c>
      <c r="M4" s="18" t="str">
        <f t="shared" si="3"/>
        <v/>
      </c>
      <c r="N4" s="18" t="str">
        <f t="shared" si="3"/>
        <v/>
      </c>
      <c r="O4" s="18" t="str">
        <f t="shared" si="3"/>
        <v/>
      </c>
      <c r="P4" s="18" t="str">
        <f t="shared" si="3"/>
        <v/>
      </c>
      <c r="Q4" s="18" t="str">
        <f t="shared" si="3"/>
        <v/>
      </c>
      <c r="R4" s="18" t="str">
        <f t="shared" si="3"/>
        <v/>
      </c>
      <c r="S4" s="18" t="str">
        <f t="shared" si="3"/>
        <v/>
      </c>
      <c r="T4" s="18">
        <f t="shared" si="3"/>
        <v>46174</v>
      </c>
      <c r="U4" s="18" t="str">
        <f t="shared" si="3"/>
        <v/>
      </c>
      <c r="V4" s="18" t="str">
        <f t="shared" si="3"/>
        <v/>
      </c>
      <c r="W4" s="18" t="str">
        <f t="shared" si="3"/>
        <v/>
      </c>
      <c r="X4" s="18" t="str">
        <f t="shared" si="3"/>
        <v/>
      </c>
      <c r="Y4" s="18" t="str">
        <f t="shared" si="3"/>
        <v/>
      </c>
      <c r="Z4" s="18" t="str">
        <f t="shared" si="3"/>
        <v/>
      </c>
      <c r="AA4" s="18" t="str">
        <f t="shared" si="3"/>
        <v/>
      </c>
      <c r="AB4" s="18" t="str">
        <f t="shared" si="3"/>
        <v/>
      </c>
      <c r="AC4" s="18" t="str">
        <f t="shared" si="3"/>
        <v/>
      </c>
      <c r="AD4" s="18" t="str">
        <f t="shared" si="3"/>
        <v/>
      </c>
      <c r="AE4" s="18" t="str">
        <f t="shared" si="3"/>
        <v/>
      </c>
      <c r="AF4" s="18" t="str">
        <f t="shared" si="3"/>
        <v/>
      </c>
      <c r="AG4" s="18" t="str">
        <f t="shared" si="3"/>
        <v/>
      </c>
      <c r="AH4" s="18" t="str">
        <f t="shared" si="3"/>
        <v/>
      </c>
      <c r="AI4" s="18" t="str">
        <f t="shared" si="3"/>
        <v/>
      </c>
      <c r="AJ4" s="18" t="str">
        <f t="shared" si="3"/>
        <v/>
      </c>
      <c r="AK4" s="18" t="str">
        <f t="shared" si="3"/>
        <v/>
      </c>
      <c r="AL4" s="18" t="str">
        <f t="shared" si="3"/>
        <v/>
      </c>
      <c r="AM4" s="18" t="str">
        <f t="shared" si="3"/>
        <v/>
      </c>
      <c r="AN4" s="18" t="str">
        <f t="shared" si="3"/>
        <v/>
      </c>
      <c r="AO4" s="18" t="str">
        <f t="shared" si="3"/>
        <v/>
      </c>
      <c r="AP4" s="18" t="str">
        <f t="shared" si="3"/>
        <v/>
      </c>
      <c r="AQ4" s="18" t="str">
        <f t="shared" si="3"/>
        <v/>
      </c>
      <c r="AR4" s="18" t="str">
        <f t="shared" si="3"/>
        <v/>
      </c>
      <c r="AS4" s="18" t="str">
        <f t="shared" si="3"/>
        <v/>
      </c>
      <c r="AT4" s="18" t="str">
        <f t="shared" si="3"/>
        <v/>
      </c>
      <c r="AU4" s="18" t="str">
        <f t="shared" si="3"/>
        <v/>
      </c>
      <c r="AV4" s="18" t="str">
        <f t="shared" si="3"/>
        <v/>
      </c>
      <c r="AW4" s="18" t="str">
        <f t="shared" si="3"/>
        <v/>
      </c>
      <c r="AX4" s="18">
        <f t="shared" si="3"/>
        <v>46204</v>
      </c>
      <c r="AY4" s="18" t="str">
        <f t="shared" si="3"/>
        <v/>
      </c>
      <c r="AZ4" s="18" t="str">
        <f t="shared" si="3"/>
        <v/>
      </c>
      <c r="BA4" s="18" t="str">
        <f t="shared" si="3"/>
        <v/>
      </c>
      <c r="BB4" s="18" t="str">
        <f t="shared" si="3"/>
        <v/>
      </c>
      <c r="BC4" s="18" t="str">
        <f t="shared" si="3"/>
        <v/>
      </c>
      <c r="BD4" s="18" t="str">
        <f t="shared" si="3"/>
        <v/>
      </c>
      <c r="BE4" s="20" t="str">
        <f t="shared" si="3"/>
        <v/>
      </c>
    </row>
    <row r="5" spans="1:57" ht="17" thickBot="1" x14ac:dyDescent="0.55000000000000004">
      <c r="E5" s="57" t="s">
        <v>4</v>
      </c>
      <c r="F5" s="58">
        <v>1</v>
      </c>
      <c r="G5" s="8" t="s">
        <v>5</v>
      </c>
      <c r="H5" s="21">
        <f>START+SCROLL_AMOUNT</f>
        <v>46162</v>
      </c>
      <c r="I5" s="22">
        <f t="shared" ref="I5:AN5" si="4">H5+STEP</f>
        <v>46163</v>
      </c>
      <c r="J5" s="22">
        <f t="shared" si="4"/>
        <v>46164</v>
      </c>
      <c r="K5" s="22">
        <f t="shared" si="4"/>
        <v>46165</v>
      </c>
      <c r="L5" s="22">
        <f t="shared" si="4"/>
        <v>46166</v>
      </c>
      <c r="M5" s="22">
        <f t="shared" si="4"/>
        <v>46167</v>
      </c>
      <c r="N5" s="22">
        <f t="shared" si="4"/>
        <v>46168</v>
      </c>
      <c r="O5" s="22">
        <f t="shared" si="4"/>
        <v>46169</v>
      </c>
      <c r="P5" s="22">
        <f t="shared" si="4"/>
        <v>46170</v>
      </c>
      <c r="Q5" s="22">
        <f t="shared" si="4"/>
        <v>46171</v>
      </c>
      <c r="R5" s="22">
        <f t="shared" si="4"/>
        <v>46172</v>
      </c>
      <c r="S5" s="22">
        <f t="shared" si="4"/>
        <v>46173</v>
      </c>
      <c r="T5" s="22">
        <f t="shared" si="4"/>
        <v>46174</v>
      </c>
      <c r="U5" s="22">
        <f t="shared" si="4"/>
        <v>46175</v>
      </c>
      <c r="V5" s="22">
        <f t="shared" si="4"/>
        <v>46176</v>
      </c>
      <c r="W5" s="22">
        <f t="shared" si="4"/>
        <v>46177</v>
      </c>
      <c r="X5" s="22">
        <f t="shared" si="4"/>
        <v>46178</v>
      </c>
      <c r="Y5" s="22">
        <f t="shared" si="4"/>
        <v>46179</v>
      </c>
      <c r="Z5" s="22">
        <f t="shared" si="4"/>
        <v>46180</v>
      </c>
      <c r="AA5" s="22">
        <f t="shared" si="4"/>
        <v>46181</v>
      </c>
      <c r="AB5" s="22">
        <f t="shared" si="4"/>
        <v>46182</v>
      </c>
      <c r="AC5" s="22">
        <f t="shared" si="4"/>
        <v>46183</v>
      </c>
      <c r="AD5" s="22">
        <f t="shared" si="4"/>
        <v>46184</v>
      </c>
      <c r="AE5" s="22">
        <f t="shared" si="4"/>
        <v>46185</v>
      </c>
      <c r="AF5" s="22">
        <f t="shared" si="4"/>
        <v>46186</v>
      </c>
      <c r="AG5" s="22">
        <f t="shared" si="4"/>
        <v>46187</v>
      </c>
      <c r="AH5" s="22">
        <f t="shared" si="4"/>
        <v>46188</v>
      </c>
      <c r="AI5" s="22">
        <f t="shared" si="4"/>
        <v>46189</v>
      </c>
      <c r="AJ5" s="22">
        <f t="shared" si="4"/>
        <v>46190</v>
      </c>
      <c r="AK5" s="22">
        <f t="shared" si="4"/>
        <v>46191</v>
      </c>
      <c r="AL5" s="22">
        <f t="shared" si="4"/>
        <v>46192</v>
      </c>
      <c r="AM5" s="22">
        <f t="shared" si="4"/>
        <v>46193</v>
      </c>
      <c r="AN5" s="22">
        <f t="shared" si="4"/>
        <v>46194</v>
      </c>
      <c r="AO5" s="22">
        <f t="shared" ref="AO5:BE5" si="5">AN5+STEP</f>
        <v>46195</v>
      </c>
      <c r="AP5" s="22">
        <f t="shared" si="5"/>
        <v>46196</v>
      </c>
      <c r="AQ5" s="22">
        <f t="shared" si="5"/>
        <v>46197</v>
      </c>
      <c r="AR5" s="22">
        <f t="shared" si="5"/>
        <v>46198</v>
      </c>
      <c r="AS5" s="22">
        <f t="shared" si="5"/>
        <v>46199</v>
      </c>
      <c r="AT5" s="22">
        <f t="shared" si="5"/>
        <v>46200</v>
      </c>
      <c r="AU5" s="22">
        <f t="shared" si="5"/>
        <v>46201</v>
      </c>
      <c r="AV5" s="22">
        <f t="shared" si="5"/>
        <v>46202</v>
      </c>
      <c r="AW5" s="22">
        <f t="shared" si="5"/>
        <v>46203</v>
      </c>
      <c r="AX5" s="22">
        <f t="shared" si="5"/>
        <v>46204</v>
      </c>
      <c r="AY5" s="22">
        <f t="shared" si="5"/>
        <v>46205</v>
      </c>
      <c r="AZ5" s="22">
        <f t="shared" si="5"/>
        <v>46206</v>
      </c>
      <c r="BA5" s="22">
        <f t="shared" si="5"/>
        <v>46207</v>
      </c>
      <c r="BB5" s="22">
        <f t="shared" si="5"/>
        <v>46208</v>
      </c>
      <c r="BC5" s="22">
        <f t="shared" si="5"/>
        <v>46209</v>
      </c>
      <c r="BD5" s="22">
        <f t="shared" si="5"/>
        <v>46210</v>
      </c>
      <c r="BE5" s="52">
        <f t="shared" si="5"/>
        <v>46211</v>
      </c>
    </row>
    <row r="6" spans="1:57" ht="5" customHeight="1" x14ac:dyDescent="0.5"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</row>
    <row r="7" spans="1:57" s="26" customFormat="1" ht="16.25" customHeight="1" x14ac:dyDescent="0.5">
      <c r="E7" s="69" t="s">
        <v>16</v>
      </c>
      <c r="F7" s="70"/>
      <c r="G7" s="66">
        <v>0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</row>
    <row r="8" spans="1:57" ht="5" customHeight="1" thickBot="1" x14ac:dyDescent="0.55000000000000004">
      <c r="B8" s="64"/>
      <c r="C8" s="65"/>
      <c r="D8" s="65"/>
      <c r="G8" s="63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</row>
    <row r="9" spans="1:57" ht="17" thickBot="1" x14ac:dyDescent="0.55000000000000004">
      <c r="B9" s="10" t="s">
        <v>6</v>
      </c>
      <c r="C9" s="9" t="s">
        <v>13</v>
      </c>
      <c r="D9" s="9" t="s">
        <v>12</v>
      </c>
      <c r="E9" s="9" t="s">
        <v>10</v>
      </c>
      <c r="F9" s="14" t="s">
        <v>15</v>
      </c>
      <c r="G9" s="27" t="s">
        <v>14</v>
      </c>
      <c r="H9" s="23" t="str">
        <f>TEXT(H5,"aaa")</f>
        <v>水</v>
      </c>
      <c r="I9" s="34" t="str">
        <f>TEXT(I5,"aaa")</f>
        <v>木</v>
      </c>
      <c r="J9" s="24" t="str">
        <f t="shared" ref="J9:BE9" si="6">TEXT(J5,"aaa")</f>
        <v>金</v>
      </c>
      <c r="K9" s="24" t="str">
        <f t="shared" si="6"/>
        <v>土</v>
      </c>
      <c r="L9" s="24" t="str">
        <f t="shared" si="6"/>
        <v>日</v>
      </c>
      <c r="M9" s="24" t="str">
        <f t="shared" si="6"/>
        <v>月</v>
      </c>
      <c r="N9" s="24" t="str">
        <f t="shared" si="6"/>
        <v>火</v>
      </c>
      <c r="O9" s="24" t="str">
        <f t="shared" si="6"/>
        <v>水</v>
      </c>
      <c r="P9" s="24" t="str">
        <f t="shared" si="6"/>
        <v>木</v>
      </c>
      <c r="Q9" s="24" t="str">
        <f t="shared" si="6"/>
        <v>金</v>
      </c>
      <c r="R9" s="24" t="str">
        <f t="shared" si="6"/>
        <v>土</v>
      </c>
      <c r="S9" s="24" t="str">
        <f t="shared" si="6"/>
        <v>日</v>
      </c>
      <c r="T9" s="24" t="str">
        <f t="shared" si="6"/>
        <v>月</v>
      </c>
      <c r="U9" s="24" t="str">
        <f t="shared" si="6"/>
        <v>火</v>
      </c>
      <c r="V9" s="24" t="str">
        <f t="shared" si="6"/>
        <v>水</v>
      </c>
      <c r="W9" s="24" t="str">
        <f t="shared" si="6"/>
        <v>木</v>
      </c>
      <c r="X9" s="24" t="str">
        <f t="shared" si="6"/>
        <v>金</v>
      </c>
      <c r="Y9" s="24" t="str">
        <f t="shared" si="6"/>
        <v>土</v>
      </c>
      <c r="Z9" s="24" t="str">
        <f t="shared" si="6"/>
        <v>日</v>
      </c>
      <c r="AA9" s="24" t="str">
        <f t="shared" si="6"/>
        <v>月</v>
      </c>
      <c r="AB9" s="24" t="str">
        <f t="shared" si="6"/>
        <v>火</v>
      </c>
      <c r="AC9" s="24" t="str">
        <f t="shared" si="6"/>
        <v>水</v>
      </c>
      <c r="AD9" s="24" t="str">
        <f t="shared" si="6"/>
        <v>木</v>
      </c>
      <c r="AE9" s="24" t="str">
        <f t="shared" si="6"/>
        <v>金</v>
      </c>
      <c r="AF9" s="24" t="str">
        <f t="shared" si="6"/>
        <v>土</v>
      </c>
      <c r="AG9" s="24" t="str">
        <f t="shared" si="6"/>
        <v>日</v>
      </c>
      <c r="AH9" s="24" t="str">
        <f t="shared" si="6"/>
        <v>月</v>
      </c>
      <c r="AI9" s="24" t="str">
        <f t="shared" si="6"/>
        <v>火</v>
      </c>
      <c r="AJ9" s="24" t="str">
        <f t="shared" si="6"/>
        <v>水</v>
      </c>
      <c r="AK9" s="24" t="str">
        <f t="shared" si="6"/>
        <v>木</v>
      </c>
      <c r="AL9" s="24" t="str">
        <f t="shared" si="6"/>
        <v>金</v>
      </c>
      <c r="AM9" s="24" t="str">
        <f t="shared" si="6"/>
        <v>土</v>
      </c>
      <c r="AN9" s="24" t="str">
        <f t="shared" si="6"/>
        <v>日</v>
      </c>
      <c r="AO9" s="24" t="str">
        <f t="shared" si="6"/>
        <v>月</v>
      </c>
      <c r="AP9" s="24" t="str">
        <f t="shared" si="6"/>
        <v>火</v>
      </c>
      <c r="AQ9" s="24" t="str">
        <f t="shared" si="6"/>
        <v>水</v>
      </c>
      <c r="AR9" s="24" t="str">
        <f t="shared" si="6"/>
        <v>木</v>
      </c>
      <c r="AS9" s="24" t="str">
        <f t="shared" si="6"/>
        <v>金</v>
      </c>
      <c r="AT9" s="24" t="str">
        <f t="shared" si="6"/>
        <v>土</v>
      </c>
      <c r="AU9" s="24" t="str">
        <f t="shared" si="6"/>
        <v>日</v>
      </c>
      <c r="AV9" s="24" t="str">
        <f t="shared" si="6"/>
        <v>月</v>
      </c>
      <c r="AW9" s="24" t="str">
        <f t="shared" si="6"/>
        <v>火</v>
      </c>
      <c r="AX9" s="24" t="str">
        <f t="shared" si="6"/>
        <v>水</v>
      </c>
      <c r="AY9" s="24" t="str">
        <f t="shared" si="6"/>
        <v>木</v>
      </c>
      <c r="AZ9" s="24" t="str">
        <f t="shared" si="6"/>
        <v>金</v>
      </c>
      <c r="BA9" s="24" t="str">
        <f t="shared" si="6"/>
        <v>土</v>
      </c>
      <c r="BB9" s="24" t="str">
        <f t="shared" si="6"/>
        <v>日</v>
      </c>
      <c r="BC9" s="24" t="str">
        <f t="shared" si="6"/>
        <v>月</v>
      </c>
      <c r="BD9" s="24" t="str">
        <f t="shared" si="6"/>
        <v>火</v>
      </c>
      <c r="BE9" s="25" t="str">
        <f t="shared" si="6"/>
        <v>水</v>
      </c>
    </row>
    <row r="10" spans="1:57" ht="17" thickTop="1" x14ac:dyDescent="0.5">
      <c r="B10" s="11">
        <v>1</v>
      </c>
      <c r="C10" s="38" t="s">
        <v>17</v>
      </c>
      <c r="D10" s="39"/>
      <c r="E10" s="40"/>
      <c r="F10" s="41"/>
      <c r="G10" s="67"/>
      <c r="H10" s="28"/>
      <c r="I10" s="35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53"/>
    </row>
    <row r="11" spans="1:57" x14ac:dyDescent="0.5">
      <c r="B11" s="12">
        <v>2</v>
      </c>
      <c r="C11" s="60" t="s">
        <v>18</v>
      </c>
      <c r="D11" s="39"/>
      <c r="E11" s="42">
        <v>46162</v>
      </c>
      <c r="F11" s="43">
        <v>1</v>
      </c>
      <c r="G11" s="67">
        <v>1</v>
      </c>
      <c r="H11" s="33"/>
      <c r="I11" s="36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54"/>
    </row>
    <row r="12" spans="1:57" x14ac:dyDescent="0.5">
      <c r="B12" s="12">
        <v>3</v>
      </c>
      <c r="C12" s="60" t="s">
        <v>19</v>
      </c>
      <c r="D12" s="39"/>
      <c r="E12" s="42">
        <v>46162</v>
      </c>
      <c r="F12" s="43">
        <v>1</v>
      </c>
      <c r="G12" s="67">
        <v>1</v>
      </c>
      <c r="H12" s="32"/>
      <c r="I12" s="36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54"/>
    </row>
    <row r="13" spans="1:57" x14ac:dyDescent="0.5">
      <c r="B13" s="12">
        <v>4</v>
      </c>
      <c r="C13" s="61" t="s">
        <v>20</v>
      </c>
      <c r="D13" s="39"/>
      <c r="E13" s="42">
        <v>46164</v>
      </c>
      <c r="F13" s="43">
        <v>2</v>
      </c>
      <c r="G13" s="67">
        <v>1</v>
      </c>
      <c r="H13" s="32"/>
      <c r="I13" s="36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54"/>
    </row>
    <row r="14" spans="1:57" x14ac:dyDescent="0.5">
      <c r="B14" s="12">
        <v>5</v>
      </c>
      <c r="C14" s="44" t="s">
        <v>21</v>
      </c>
      <c r="D14" s="39"/>
      <c r="E14" s="42">
        <v>46167</v>
      </c>
      <c r="F14" s="43">
        <v>3</v>
      </c>
      <c r="G14" s="67">
        <v>0.2</v>
      </c>
      <c r="H14" s="32"/>
      <c r="I14" s="36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54"/>
    </row>
    <row r="15" spans="1:57" x14ac:dyDescent="0.5">
      <c r="B15" s="12">
        <v>6</v>
      </c>
      <c r="C15" s="44" t="s">
        <v>31</v>
      </c>
      <c r="D15" s="39"/>
      <c r="E15" s="42">
        <v>46167</v>
      </c>
      <c r="F15" s="43">
        <v>3</v>
      </c>
      <c r="G15" s="67">
        <v>0</v>
      </c>
      <c r="H15" s="32"/>
      <c r="I15" s="36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54"/>
    </row>
    <row r="16" spans="1:57" x14ac:dyDescent="0.5">
      <c r="B16" s="12">
        <v>7</v>
      </c>
      <c r="C16" s="61" t="s">
        <v>22</v>
      </c>
      <c r="D16" s="39"/>
      <c r="E16" s="42">
        <v>46169</v>
      </c>
      <c r="F16" s="43">
        <v>1</v>
      </c>
      <c r="G16" s="67">
        <v>0</v>
      </c>
      <c r="H16" s="32"/>
      <c r="I16" s="36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54"/>
    </row>
    <row r="17" spans="2:57" x14ac:dyDescent="0.5">
      <c r="B17" s="12">
        <v>8</v>
      </c>
      <c r="C17" s="61"/>
      <c r="D17" s="39"/>
      <c r="E17" s="42"/>
      <c r="F17" s="43"/>
      <c r="G17" s="67"/>
      <c r="H17" s="32"/>
      <c r="I17" s="36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54"/>
    </row>
    <row r="18" spans="2:57" x14ac:dyDescent="0.5">
      <c r="B18" s="12">
        <v>9</v>
      </c>
      <c r="C18" s="61" t="s">
        <v>23</v>
      </c>
      <c r="D18" s="39"/>
      <c r="E18" s="42"/>
      <c r="F18" s="43"/>
      <c r="G18" s="67"/>
      <c r="H18" s="32"/>
      <c r="I18" s="36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54"/>
    </row>
    <row r="19" spans="2:57" x14ac:dyDescent="0.5">
      <c r="B19" s="12">
        <v>10</v>
      </c>
      <c r="C19" s="44" t="s">
        <v>24</v>
      </c>
      <c r="D19" s="45"/>
      <c r="E19" s="42">
        <v>46163</v>
      </c>
      <c r="F19" s="43">
        <v>1</v>
      </c>
      <c r="G19" s="67">
        <v>1</v>
      </c>
      <c r="H19" s="32"/>
      <c r="I19" s="36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54"/>
    </row>
    <row r="20" spans="2:57" x14ac:dyDescent="0.5">
      <c r="B20" s="12">
        <v>11</v>
      </c>
      <c r="C20" s="44" t="s">
        <v>26</v>
      </c>
      <c r="D20" s="45"/>
      <c r="E20" s="42">
        <v>46163</v>
      </c>
      <c r="F20" s="43">
        <v>1</v>
      </c>
      <c r="G20" s="67">
        <v>1</v>
      </c>
      <c r="H20" s="32"/>
      <c r="I20" s="36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54"/>
    </row>
    <row r="21" spans="2:57" x14ac:dyDescent="0.5">
      <c r="B21" s="12">
        <v>12</v>
      </c>
      <c r="C21" s="61" t="s">
        <v>28</v>
      </c>
      <c r="D21" s="39"/>
      <c r="E21" s="42">
        <v>46164</v>
      </c>
      <c r="F21" s="43">
        <v>2</v>
      </c>
      <c r="G21" s="67">
        <v>1</v>
      </c>
      <c r="H21" s="32"/>
      <c r="I21" s="36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54"/>
    </row>
    <row r="22" spans="2:57" x14ac:dyDescent="0.5">
      <c r="B22" s="12">
        <v>13</v>
      </c>
      <c r="C22" s="61" t="s">
        <v>25</v>
      </c>
      <c r="D22" s="39"/>
      <c r="E22" s="42">
        <v>46164</v>
      </c>
      <c r="F22" s="43">
        <v>2</v>
      </c>
      <c r="G22" s="67">
        <v>1</v>
      </c>
      <c r="H22" s="32"/>
      <c r="I22" s="36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54"/>
    </row>
    <row r="23" spans="2:57" x14ac:dyDescent="0.5">
      <c r="B23" s="12">
        <v>14</v>
      </c>
      <c r="C23" s="61" t="s">
        <v>29</v>
      </c>
      <c r="D23" s="39"/>
      <c r="E23" s="42">
        <v>46163</v>
      </c>
      <c r="F23" s="43">
        <v>4</v>
      </c>
      <c r="G23" s="67">
        <v>1</v>
      </c>
      <c r="H23" s="32"/>
      <c r="I23" s="36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54"/>
    </row>
    <row r="24" spans="2:57" x14ac:dyDescent="0.5">
      <c r="B24" s="12">
        <v>15</v>
      </c>
      <c r="C24" s="44"/>
      <c r="D24" s="45"/>
      <c r="E24" s="42"/>
      <c r="F24" s="43"/>
      <c r="G24" s="67"/>
      <c r="H24" s="32"/>
      <c r="I24" s="36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54"/>
    </row>
    <row r="25" spans="2:57" x14ac:dyDescent="0.5">
      <c r="B25" s="12">
        <v>16</v>
      </c>
      <c r="C25" s="44" t="s">
        <v>32</v>
      </c>
      <c r="D25" s="45"/>
      <c r="E25" s="42">
        <v>46169</v>
      </c>
      <c r="F25" s="43">
        <v>2</v>
      </c>
      <c r="G25" s="67">
        <v>0</v>
      </c>
      <c r="H25" s="32"/>
      <c r="I25" s="36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54"/>
    </row>
    <row r="26" spans="2:57" x14ac:dyDescent="0.5">
      <c r="B26" s="12">
        <v>17</v>
      </c>
      <c r="C26" s="44" t="s">
        <v>33</v>
      </c>
      <c r="D26" s="45"/>
      <c r="E26" s="42">
        <v>46171</v>
      </c>
      <c r="F26" s="43">
        <v>1</v>
      </c>
      <c r="G26" s="67">
        <v>0</v>
      </c>
      <c r="H26" s="32"/>
      <c r="I26" s="36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54"/>
    </row>
    <row r="27" spans="2:57" x14ac:dyDescent="0.5">
      <c r="B27" s="12">
        <v>18</v>
      </c>
      <c r="C27" s="44"/>
      <c r="D27" s="45"/>
      <c r="E27" s="42"/>
      <c r="F27" s="43"/>
      <c r="G27" s="67"/>
      <c r="H27" s="32"/>
      <c r="I27" s="36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54"/>
    </row>
    <row r="28" spans="2:57" x14ac:dyDescent="0.5">
      <c r="B28" s="12">
        <v>19</v>
      </c>
      <c r="C28" s="44"/>
      <c r="D28" s="45"/>
      <c r="E28" s="42"/>
      <c r="F28" s="43"/>
      <c r="G28" s="67"/>
      <c r="H28" s="32"/>
      <c r="I28" s="36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54"/>
    </row>
    <row r="29" spans="2:57" x14ac:dyDescent="0.5">
      <c r="B29" s="12">
        <v>20</v>
      </c>
      <c r="C29" s="44" t="s">
        <v>27</v>
      </c>
      <c r="D29" s="45"/>
      <c r="E29" s="42"/>
      <c r="F29" s="43"/>
      <c r="G29" s="67"/>
      <c r="H29" s="32"/>
      <c r="I29" s="36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54"/>
    </row>
    <row r="30" spans="2:57" x14ac:dyDescent="0.5">
      <c r="B30" s="12">
        <v>21</v>
      </c>
      <c r="C30" s="44" t="s">
        <v>17</v>
      </c>
      <c r="D30" s="45"/>
      <c r="E30" s="42"/>
      <c r="F30" s="43"/>
      <c r="G30" s="67"/>
      <c r="H30" s="32"/>
      <c r="I30" s="36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54"/>
    </row>
    <row r="31" spans="2:57" x14ac:dyDescent="0.5">
      <c r="B31" s="12">
        <v>22</v>
      </c>
      <c r="C31" s="44" t="s">
        <v>18</v>
      </c>
      <c r="D31" s="45"/>
      <c r="E31" s="42">
        <v>46162</v>
      </c>
      <c r="F31" s="43">
        <v>1</v>
      </c>
      <c r="G31" s="67">
        <v>1</v>
      </c>
      <c r="H31" s="32"/>
      <c r="I31" s="36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54"/>
    </row>
    <row r="32" spans="2:57" x14ac:dyDescent="0.5">
      <c r="B32" s="12">
        <v>23</v>
      </c>
      <c r="C32" s="44" t="s">
        <v>19</v>
      </c>
      <c r="D32" s="45"/>
      <c r="E32" s="42">
        <v>46162</v>
      </c>
      <c r="F32" s="43">
        <v>1</v>
      </c>
      <c r="G32" s="67">
        <v>1</v>
      </c>
      <c r="H32" s="32"/>
      <c r="I32" s="36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54"/>
    </row>
    <row r="33" spans="2:57" x14ac:dyDescent="0.5">
      <c r="B33" s="12">
        <v>24</v>
      </c>
      <c r="C33" s="44" t="s">
        <v>20</v>
      </c>
      <c r="D33" s="45"/>
      <c r="E33" s="42">
        <v>46164</v>
      </c>
      <c r="F33" s="43">
        <v>2</v>
      </c>
      <c r="G33" s="67">
        <v>1</v>
      </c>
      <c r="H33" s="32"/>
      <c r="I33" s="36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54"/>
    </row>
    <row r="34" spans="2:57" x14ac:dyDescent="0.5">
      <c r="B34" s="12">
        <v>25</v>
      </c>
      <c r="C34" s="44" t="s">
        <v>21</v>
      </c>
      <c r="D34" s="45"/>
      <c r="E34" s="42">
        <v>46167</v>
      </c>
      <c r="F34" s="43">
        <v>3</v>
      </c>
      <c r="G34" s="67">
        <v>0</v>
      </c>
      <c r="H34" s="32"/>
      <c r="I34" s="36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54"/>
    </row>
    <row r="35" spans="2:57" x14ac:dyDescent="0.5">
      <c r="B35" s="12">
        <v>26</v>
      </c>
      <c r="C35" s="44" t="s">
        <v>31</v>
      </c>
      <c r="D35" s="45"/>
      <c r="E35" s="42">
        <v>46167</v>
      </c>
      <c r="F35" s="43">
        <v>3</v>
      </c>
      <c r="G35" s="67">
        <v>0</v>
      </c>
      <c r="H35" s="32"/>
      <c r="I35" s="36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54"/>
    </row>
    <row r="36" spans="2:57" x14ac:dyDescent="0.5">
      <c r="B36" s="12">
        <v>27</v>
      </c>
      <c r="C36" s="44" t="s">
        <v>30</v>
      </c>
      <c r="D36" s="45"/>
      <c r="E36" s="42">
        <v>46169</v>
      </c>
      <c r="F36" s="43">
        <v>1</v>
      </c>
      <c r="G36" s="67">
        <v>0</v>
      </c>
      <c r="H36" s="32"/>
      <c r="I36" s="36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54"/>
    </row>
    <row r="37" spans="2:57" x14ac:dyDescent="0.5">
      <c r="B37" s="12">
        <v>28</v>
      </c>
      <c r="C37" s="44"/>
      <c r="D37" s="45"/>
      <c r="E37" s="42"/>
      <c r="F37" s="43"/>
      <c r="G37" s="67"/>
      <c r="H37" s="32"/>
      <c r="I37" s="36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54"/>
    </row>
    <row r="38" spans="2:57" x14ac:dyDescent="0.5">
      <c r="B38" s="12">
        <v>29</v>
      </c>
      <c r="C38" s="44" t="s">
        <v>23</v>
      </c>
      <c r="D38" s="45"/>
      <c r="E38" s="42"/>
      <c r="F38" s="43"/>
      <c r="G38" s="67"/>
      <c r="H38" s="32"/>
      <c r="I38" s="36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54"/>
    </row>
    <row r="39" spans="2:57" x14ac:dyDescent="0.5">
      <c r="B39" s="12">
        <v>30</v>
      </c>
      <c r="C39" s="44" t="s">
        <v>24</v>
      </c>
      <c r="D39" s="45"/>
      <c r="E39" s="42">
        <v>46163</v>
      </c>
      <c r="F39" s="43">
        <v>1</v>
      </c>
      <c r="G39" s="67">
        <v>1</v>
      </c>
      <c r="H39" s="32"/>
      <c r="I39" s="36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54"/>
    </row>
    <row r="40" spans="2:57" x14ac:dyDescent="0.5">
      <c r="B40" s="12">
        <v>31</v>
      </c>
      <c r="C40" s="44" t="s">
        <v>26</v>
      </c>
      <c r="D40" s="45"/>
      <c r="E40" s="42">
        <v>46163</v>
      </c>
      <c r="F40" s="43">
        <v>1</v>
      </c>
      <c r="G40" s="67">
        <v>1</v>
      </c>
      <c r="H40" s="32"/>
      <c r="I40" s="36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54"/>
    </row>
    <row r="41" spans="2:57" x14ac:dyDescent="0.5">
      <c r="B41" s="12">
        <v>32</v>
      </c>
      <c r="C41" s="44" t="s">
        <v>28</v>
      </c>
      <c r="D41" s="45"/>
      <c r="E41" s="42">
        <v>46164</v>
      </c>
      <c r="F41" s="43">
        <v>2</v>
      </c>
      <c r="G41" s="67">
        <v>1</v>
      </c>
      <c r="H41" s="32"/>
      <c r="I41" s="36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54"/>
    </row>
    <row r="42" spans="2:57" x14ac:dyDescent="0.5">
      <c r="B42" s="12">
        <v>33</v>
      </c>
      <c r="C42" s="44" t="s">
        <v>25</v>
      </c>
      <c r="D42" s="45"/>
      <c r="E42" s="42">
        <v>46164</v>
      </c>
      <c r="F42" s="43">
        <v>2</v>
      </c>
      <c r="G42" s="67">
        <v>1</v>
      </c>
      <c r="H42" s="32"/>
      <c r="I42" s="36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54"/>
    </row>
    <row r="43" spans="2:57" x14ac:dyDescent="0.5">
      <c r="B43" s="12">
        <v>34</v>
      </c>
      <c r="C43" s="44" t="s">
        <v>29</v>
      </c>
      <c r="D43" s="45"/>
      <c r="E43" s="42">
        <v>46163</v>
      </c>
      <c r="F43" s="43">
        <v>4</v>
      </c>
      <c r="G43" s="67">
        <v>1</v>
      </c>
      <c r="H43" s="32"/>
      <c r="I43" s="36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54"/>
    </row>
    <row r="44" spans="2:57" x14ac:dyDescent="0.5">
      <c r="B44" s="12">
        <v>35</v>
      </c>
      <c r="C44" s="44"/>
      <c r="D44" s="45"/>
      <c r="E44" s="42"/>
      <c r="F44" s="43"/>
      <c r="G44" s="67"/>
      <c r="H44" s="32"/>
      <c r="I44" s="36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54"/>
    </row>
    <row r="45" spans="2:57" x14ac:dyDescent="0.5">
      <c r="B45" s="12">
        <v>36</v>
      </c>
      <c r="C45" s="44"/>
      <c r="D45" s="45"/>
      <c r="E45" s="42"/>
      <c r="F45" s="43"/>
      <c r="G45" s="67"/>
      <c r="H45" s="32"/>
      <c r="I45" s="36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54"/>
    </row>
    <row r="46" spans="2:57" x14ac:dyDescent="0.5">
      <c r="B46" s="12">
        <v>37</v>
      </c>
      <c r="C46" s="44"/>
      <c r="D46" s="45"/>
      <c r="E46" s="42"/>
      <c r="F46" s="43"/>
      <c r="G46" s="67"/>
      <c r="H46" s="32"/>
      <c r="I46" s="36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54"/>
    </row>
    <row r="47" spans="2:57" x14ac:dyDescent="0.5">
      <c r="B47" s="12">
        <v>38</v>
      </c>
      <c r="C47" s="44"/>
      <c r="D47" s="45"/>
      <c r="E47" s="42"/>
      <c r="F47" s="43"/>
      <c r="G47" s="67"/>
      <c r="H47" s="32"/>
      <c r="I47" s="36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54"/>
    </row>
    <row r="48" spans="2:57" x14ac:dyDescent="0.5">
      <c r="B48" s="12">
        <v>39</v>
      </c>
      <c r="C48" s="44"/>
      <c r="D48" s="45"/>
      <c r="E48" s="42"/>
      <c r="F48" s="43"/>
      <c r="G48" s="67"/>
      <c r="H48" s="32"/>
      <c r="I48" s="36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54"/>
    </row>
    <row r="49" spans="2:57" ht="17" thickBot="1" x14ac:dyDescent="0.55000000000000004">
      <c r="B49" s="13">
        <v>40</v>
      </c>
      <c r="C49" s="46"/>
      <c r="D49" s="47"/>
      <c r="E49" s="48"/>
      <c r="F49" s="49"/>
      <c r="G49" s="62"/>
      <c r="H49" s="30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55"/>
    </row>
  </sheetData>
  <sheetProtection sheet="1" objects="1" scenarios="1"/>
  <mergeCells count="1">
    <mergeCell ref="E7:F7"/>
  </mergeCells>
  <phoneticPr fontId="1"/>
  <conditionalFormatting sqref="H4:BE4">
    <cfRule type="expression" dxfId="4" priority="2">
      <formula>ISODD(MONTH(H$5))</formula>
    </cfRule>
  </conditionalFormatting>
  <conditionalFormatting sqref="H9:BE49">
    <cfRule type="expression" dxfId="3" priority="8">
      <formula>AND(H$5&gt;=TODAY()-STEP+1,H$5&lt;=TODAY())</formula>
    </cfRule>
    <cfRule type="expression" dxfId="2" priority="9">
      <formula>IF(AND(STEP&lt;=3,H$2=1),TRUE,FALSE)</formula>
    </cfRule>
  </conditionalFormatting>
  <conditionalFormatting sqref="H10:BE49">
    <cfRule type="expression" dxfId="1" priority="1">
      <formula>AND($G10&gt;0,H$5&gt;=$E10-STEP+1,OR(H$5&lt;=(WORKDAY($E10,INT(($F10*$G10)-1),HOLIDAY))))</formula>
    </cfRule>
    <cfRule type="expression" dxfId="0" priority="3">
      <formula>AND($E10&lt;&gt;"",H$5&gt;=$E10-STEP+1,OR(H$5&lt;=(WORKDAY($E10,$F10-1,HOLIDAY)),AND((WORKDAY($E10,$F10-1,HOLIDAY))="",H$5&lt;=TODAY())))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8" scale="9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croll Bar 1">
              <controlPr locked="0" defaultSize="0" autoPict="0">
                <anchor moveWithCells="1">
                  <from>
                    <xdr:col>7</xdr:col>
                    <xdr:colOff>0</xdr:colOff>
                    <xdr:row>6</xdr:row>
                    <xdr:rowOff>0</xdr:rowOff>
                  </from>
                  <to>
                    <xdr:col>57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C882-F8C3-45E1-B4A2-8E8063254EFF}">
  <sheetPr codeName="Sheet3"/>
  <dimension ref="A1:G20"/>
  <sheetViews>
    <sheetView workbookViewId="0"/>
  </sheetViews>
  <sheetFormatPr defaultRowHeight="16.5" x14ac:dyDescent="0.5"/>
  <cols>
    <col min="1" max="1" width="1.6328125" customWidth="1"/>
    <col min="2" max="7" width="12.6328125" customWidth="1"/>
  </cols>
  <sheetData>
    <row r="1" spans="1:7" ht="20" x14ac:dyDescent="0.5">
      <c r="A1" s="5" t="s">
        <v>7</v>
      </c>
    </row>
    <row r="3" spans="1:7" x14ac:dyDescent="0.5">
      <c r="B3" t="s">
        <v>8</v>
      </c>
    </row>
    <row r="4" spans="1:7" x14ac:dyDescent="0.5">
      <c r="B4" t="s">
        <v>9</v>
      </c>
    </row>
    <row r="6" spans="1:7" x14ac:dyDescent="0.5">
      <c r="B6" s="68">
        <v>45658</v>
      </c>
      <c r="C6" s="68">
        <v>45943</v>
      </c>
      <c r="D6" s="68">
        <v>46023</v>
      </c>
      <c r="E6" s="68">
        <v>46307</v>
      </c>
      <c r="F6" s="68"/>
      <c r="G6" s="68"/>
    </row>
    <row r="7" spans="1:7" x14ac:dyDescent="0.5">
      <c r="B7" s="68">
        <v>45670</v>
      </c>
      <c r="C7" s="68">
        <v>45964</v>
      </c>
      <c r="D7" s="68">
        <v>46034</v>
      </c>
      <c r="E7" s="68">
        <v>46329</v>
      </c>
      <c r="F7" s="68"/>
      <c r="G7" s="68"/>
    </row>
    <row r="8" spans="1:7" x14ac:dyDescent="0.5">
      <c r="B8" s="68">
        <v>45699</v>
      </c>
      <c r="C8" s="68">
        <v>45984</v>
      </c>
      <c r="D8" s="68">
        <v>46064</v>
      </c>
      <c r="E8" s="68">
        <v>46349</v>
      </c>
      <c r="F8" s="68"/>
      <c r="G8" s="68"/>
    </row>
    <row r="9" spans="1:7" x14ac:dyDescent="0.5">
      <c r="B9" s="68">
        <v>45711</v>
      </c>
      <c r="C9" s="68">
        <v>45985</v>
      </c>
      <c r="D9" s="68">
        <v>46076</v>
      </c>
      <c r="E9" s="68">
        <v>46024</v>
      </c>
      <c r="F9" s="68"/>
      <c r="G9" s="68"/>
    </row>
    <row r="10" spans="1:7" x14ac:dyDescent="0.5">
      <c r="B10" s="68">
        <v>45712</v>
      </c>
      <c r="C10" s="68">
        <v>45659</v>
      </c>
      <c r="D10" s="68">
        <v>46101</v>
      </c>
      <c r="E10" s="68">
        <v>46384</v>
      </c>
      <c r="F10" s="68"/>
      <c r="G10" s="68"/>
    </row>
    <row r="11" spans="1:7" x14ac:dyDescent="0.5">
      <c r="B11" s="68">
        <v>45736</v>
      </c>
      <c r="C11" s="68">
        <v>45660</v>
      </c>
      <c r="D11" s="68">
        <v>46141</v>
      </c>
      <c r="E11" s="68">
        <v>46385</v>
      </c>
      <c r="F11" s="68"/>
      <c r="G11" s="68"/>
    </row>
    <row r="12" spans="1:7" x14ac:dyDescent="0.5">
      <c r="B12" s="68">
        <v>45776</v>
      </c>
      <c r="C12" s="68">
        <v>46020</v>
      </c>
      <c r="D12" s="68">
        <v>46145</v>
      </c>
      <c r="E12" s="68">
        <v>46386</v>
      </c>
      <c r="F12" s="68"/>
      <c r="G12" s="68"/>
    </row>
    <row r="13" spans="1:7" x14ac:dyDescent="0.5">
      <c r="B13" s="68">
        <v>45780</v>
      </c>
      <c r="C13" s="68">
        <v>46021</v>
      </c>
      <c r="D13" s="68">
        <v>46146</v>
      </c>
      <c r="E13" s="68">
        <v>46387</v>
      </c>
      <c r="F13" s="68"/>
      <c r="G13" s="68"/>
    </row>
    <row r="14" spans="1:7" x14ac:dyDescent="0.5">
      <c r="B14" s="68">
        <v>45781</v>
      </c>
      <c r="C14" s="68">
        <v>46022</v>
      </c>
      <c r="D14" s="68">
        <v>46147</v>
      </c>
      <c r="E14" s="68"/>
      <c r="F14" s="68"/>
      <c r="G14" s="68"/>
    </row>
    <row r="15" spans="1:7" x14ac:dyDescent="0.5">
      <c r="B15" s="68">
        <v>45782</v>
      </c>
      <c r="C15" s="68"/>
      <c r="D15" s="68">
        <v>46148</v>
      </c>
      <c r="E15" s="68"/>
      <c r="F15" s="68"/>
      <c r="G15" s="68"/>
    </row>
    <row r="16" spans="1:7" x14ac:dyDescent="0.5">
      <c r="B16" s="68">
        <v>45783</v>
      </c>
      <c r="C16" s="68"/>
      <c r="D16" s="68">
        <v>46223</v>
      </c>
      <c r="E16" s="68"/>
      <c r="F16" s="68"/>
      <c r="G16" s="68"/>
    </row>
    <row r="17" spans="2:7" x14ac:dyDescent="0.5">
      <c r="B17" s="68">
        <v>45859</v>
      </c>
      <c r="C17" s="68"/>
      <c r="D17" s="68">
        <v>46245</v>
      </c>
      <c r="E17" s="68"/>
      <c r="F17" s="68"/>
      <c r="G17" s="68"/>
    </row>
    <row r="18" spans="2:7" x14ac:dyDescent="0.5">
      <c r="B18" s="68">
        <v>45880</v>
      </c>
      <c r="C18" s="68"/>
      <c r="D18" s="68">
        <v>46286</v>
      </c>
      <c r="E18" s="68"/>
      <c r="F18" s="68"/>
      <c r="G18" s="68"/>
    </row>
    <row r="19" spans="2:7" x14ac:dyDescent="0.5">
      <c r="B19" s="68">
        <v>45915</v>
      </c>
      <c r="C19" s="68"/>
      <c r="D19" s="68">
        <v>46287</v>
      </c>
      <c r="E19" s="68"/>
      <c r="F19" s="68"/>
      <c r="G19" s="68"/>
    </row>
    <row r="20" spans="2:7" x14ac:dyDescent="0.5">
      <c r="B20" s="68">
        <v>45923</v>
      </c>
      <c r="C20" s="68"/>
      <c r="D20" s="68">
        <v>46288</v>
      </c>
      <c r="E20" s="68"/>
      <c r="F20" s="68"/>
      <c r="G20" s="68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ガントチャート</vt:lpstr>
      <vt:lpstr>休日表</vt:lpstr>
      <vt:lpstr>HOLIDAY</vt:lpstr>
      <vt:lpstr>SCROLL_AMOUNT</vt:lpstr>
      <vt:lpstr>START</vt:lpstr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opnewemp005</cp:lastModifiedBy>
  <cp:lastPrinted>2025-03-15T10:40:22Z</cp:lastPrinted>
  <dcterms:created xsi:type="dcterms:W3CDTF">2025-03-08T17:02:16Z</dcterms:created>
  <dcterms:modified xsi:type="dcterms:W3CDTF">2026-05-27T01:54:07Z</dcterms:modified>
</cp:coreProperties>
</file>